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Project\Tractor\LOGARITHMIC CHIRP\"/>
    </mc:Choice>
  </mc:AlternateContent>
  <xr:revisionPtr revIDLastSave="0" documentId="13_ncr:1_{D61BD6DA-C468-4D33-B134-7D8661B98580}" xr6:coauthVersionLast="47" xr6:coauthVersionMax="47" xr10:uidLastSave="{00000000-0000-0000-0000-000000000000}"/>
  <bookViews>
    <workbookView xWindow="-69" yWindow="-69" windowWidth="22080" windowHeight="11760" activeTab="2" xr2:uid="{BC2B291B-FBAA-4668-90D2-B71CEBF6DCBE}"/>
  </bookViews>
  <sheets>
    <sheet name="Sheet1" sheetId="1" r:id="rId1"/>
    <sheet name="Sheet2" sheetId="2" r:id="rId2"/>
    <sheet name="Sheet2 (2)" sheetId="3" r:id="rId3"/>
  </sheets>
  <definedNames>
    <definedName name="_xlnm._FilterDatabase" localSheetId="1" hidden="1">Sheet2!$A$2:$A$11</definedName>
    <definedName name="_xlnm._FilterDatabase" localSheetId="2" hidden="1">'Sheet2 (2)'!$B$2:$B$11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" i="3" l="1"/>
  <c r="B4" i="3"/>
  <c r="A14" i="2"/>
  <c r="A4" i="2"/>
</calcChain>
</file>

<file path=xl/sharedStrings.xml><?xml version="1.0" encoding="utf-8"?>
<sst xmlns="http://schemas.openxmlformats.org/spreadsheetml/2006/main" count="9" uniqueCount="5">
  <si>
    <t>xung</t>
  </si>
  <si>
    <t>alpha</t>
  </si>
  <si>
    <t>depth</t>
  </si>
  <si>
    <t>beta</t>
  </si>
  <si>
    <t>Pitch =10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</si>
</sst>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alpha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Sheet1!$A$2:$A$14</c:f>
              <c:numCache>
                <c:formatCode>General</c:formatCode>
                <c:ptCount val="13"/>
                <c:pt idx="0">
                  <c:v>0</c:v>
                </c:pt>
                <c:pt idx="1">
                  <c:v>2000</c:v>
                </c:pt>
                <c:pt idx="2">
                  <c:v>8452</c:v>
                </c:pt>
                <c:pt idx="3">
                  <c:v>15910</c:v>
                </c:pt>
                <c:pt idx="4">
                  <c:v>22124</c:v>
                </c:pt>
                <c:pt idx="5">
                  <c:v>28588</c:v>
                </c:pt>
                <c:pt idx="6">
                  <c:v>19897</c:v>
                </c:pt>
                <c:pt idx="7">
                  <c:v>7700</c:v>
                </c:pt>
                <c:pt idx="8">
                  <c:v>15661</c:v>
                </c:pt>
                <c:pt idx="9">
                  <c:v>26102</c:v>
                </c:pt>
                <c:pt idx="10">
                  <c:v>5718</c:v>
                </c:pt>
                <c:pt idx="11">
                  <c:v>17400</c:v>
                </c:pt>
                <c:pt idx="12">
                  <c:v>31322</c:v>
                </c:pt>
              </c:numCache>
            </c:numRef>
          </c:xVal>
          <c:yVal>
            <c:numRef>
              <c:f>Sheet1!$B$2:$B$14</c:f>
              <c:numCache>
                <c:formatCode>General</c:formatCode>
                <c:ptCount val="13"/>
                <c:pt idx="0">
                  <c:v>0</c:v>
                </c:pt>
                <c:pt idx="1">
                  <c:v>2.1</c:v>
                </c:pt>
                <c:pt idx="2">
                  <c:v>2.1</c:v>
                </c:pt>
                <c:pt idx="3">
                  <c:v>9</c:v>
                </c:pt>
                <c:pt idx="4">
                  <c:v>15</c:v>
                </c:pt>
                <c:pt idx="5">
                  <c:v>21.7</c:v>
                </c:pt>
                <c:pt idx="6">
                  <c:v>19.68</c:v>
                </c:pt>
                <c:pt idx="7">
                  <c:v>7.92</c:v>
                </c:pt>
                <c:pt idx="8">
                  <c:v>9.2799999999999994</c:v>
                </c:pt>
                <c:pt idx="9">
                  <c:v>19.37</c:v>
                </c:pt>
                <c:pt idx="10">
                  <c:v>5.9</c:v>
                </c:pt>
                <c:pt idx="11">
                  <c:v>10.57</c:v>
                </c:pt>
                <c:pt idx="12">
                  <c:v>24.75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10-46D4-B29D-F0E6B4DA93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077504"/>
        <c:axId val="628081344"/>
      </c:scatterChart>
      <c:valAx>
        <c:axId val="628077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081344"/>
        <c:crosses val="autoZero"/>
        <c:crossBetween val="midCat"/>
      </c:valAx>
      <c:valAx>
        <c:axId val="628081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077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Sheet2!$A$2:$A$18</c:f>
              <c:numCache>
                <c:formatCode>General</c:formatCode>
                <c:ptCount val="17"/>
                <c:pt idx="0">
                  <c:v>50</c:v>
                </c:pt>
                <c:pt idx="1">
                  <c:v>160</c:v>
                </c:pt>
                <c:pt idx="2">
                  <c:v>149.5</c:v>
                </c:pt>
                <c:pt idx="3">
                  <c:v>110</c:v>
                </c:pt>
                <c:pt idx="4">
                  <c:v>70</c:v>
                </c:pt>
                <c:pt idx="5">
                  <c:v>100</c:v>
                </c:pt>
                <c:pt idx="6">
                  <c:v>88</c:v>
                </c:pt>
                <c:pt idx="7">
                  <c:v>75</c:v>
                </c:pt>
                <c:pt idx="8">
                  <c:v>40</c:v>
                </c:pt>
                <c:pt idx="9">
                  <c:v>30</c:v>
                </c:pt>
                <c:pt idx="10">
                  <c:v>95</c:v>
                </c:pt>
                <c:pt idx="11">
                  <c:v>170</c:v>
                </c:pt>
                <c:pt idx="12">
                  <c:v>105</c:v>
                </c:pt>
                <c:pt idx="13">
                  <c:v>70</c:v>
                </c:pt>
                <c:pt idx="14">
                  <c:v>60</c:v>
                </c:pt>
                <c:pt idx="15">
                  <c:v>55</c:v>
                </c:pt>
                <c:pt idx="16">
                  <c:v>20</c:v>
                </c:pt>
              </c:numCache>
            </c:numRef>
          </c:xVal>
          <c:yVal>
            <c:numRef>
              <c:f>Sheet2!$B$2:$B$18</c:f>
              <c:numCache>
                <c:formatCode>General</c:formatCode>
                <c:ptCount val="17"/>
                <c:pt idx="0">
                  <c:v>13.5</c:v>
                </c:pt>
                <c:pt idx="1">
                  <c:v>27</c:v>
                </c:pt>
                <c:pt idx="2">
                  <c:v>24.7</c:v>
                </c:pt>
                <c:pt idx="3">
                  <c:v>20</c:v>
                </c:pt>
                <c:pt idx="4">
                  <c:v>15.8</c:v>
                </c:pt>
                <c:pt idx="5">
                  <c:v>19.100000000000001</c:v>
                </c:pt>
                <c:pt idx="6">
                  <c:v>17.899999999999999</c:v>
                </c:pt>
                <c:pt idx="7">
                  <c:v>16.8</c:v>
                </c:pt>
                <c:pt idx="8">
                  <c:v>12.2</c:v>
                </c:pt>
                <c:pt idx="9">
                  <c:v>11</c:v>
                </c:pt>
                <c:pt idx="10">
                  <c:v>11</c:v>
                </c:pt>
                <c:pt idx="11">
                  <c:v>20.5</c:v>
                </c:pt>
                <c:pt idx="12">
                  <c:v>12.2</c:v>
                </c:pt>
                <c:pt idx="13">
                  <c:v>8.6</c:v>
                </c:pt>
                <c:pt idx="14">
                  <c:v>7.3</c:v>
                </c:pt>
                <c:pt idx="15">
                  <c:v>6.5</c:v>
                </c:pt>
                <c:pt idx="16">
                  <c:v>2.9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90-4D61-9695-AF1076B5B1A2}"/>
            </c:ext>
          </c:extLst>
        </c:ser>
        <c:ser>
          <c:idx val="1"/>
          <c:order val="1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Sheet2!$A$2:$A$18</c:f>
              <c:numCache>
                <c:formatCode>General</c:formatCode>
                <c:ptCount val="17"/>
                <c:pt idx="0">
                  <c:v>50</c:v>
                </c:pt>
                <c:pt idx="1">
                  <c:v>160</c:v>
                </c:pt>
                <c:pt idx="2">
                  <c:v>149.5</c:v>
                </c:pt>
                <c:pt idx="3">
                  <c:v>110</c:v>
                </c:pt>
                <c:pt idx="4">
                  <c:v>70</c:v>
                </c:pt>
                <c:pt idx="5">
                  <c:v>100</c:v>
                </c:pt>
                <c:pt idx="6">
                  <c:v>88</c:v>
                </c:pt>
                <c:pt idx="7">
                  <c:v>75</c:v>
                </c:pt>
                <c:pt idx="8">
                  <c:v>40</c:v>
                </c:pt>
                <c:pt idx="9">
                  <c:v>30</c:v>
                </c:pt>
                <c:pt idx="10">
                  <c:v>95</c:v>
                </c:pt>
                <c:pt idx="11">
                  <c:v>170</c:v>
                </c:pt>
                <c:pt idx="12">
                  <c:v>105</c:v>
                </c:pt>
                <c:pt idx="13">
                  <c:v>70</c:v>
                </c:pt>
                <c:pt idx="14">
                  <c:v>60</c:v>
                </c:pt>
                <c:pt idx="15">
                  <c:v>55</c:v>
                </c:pt>
                <c:pt idx="16">
                  <c:v>20</c:v>
                </c:pt>
              </c:numCache>
            </c:numRef>
          </c:xVal>
          <c:yVal>
            <c:numRef>
              <c:f>Sheet2!$C$2:$C$18</c:f>
              <c:numCache>
                <c:formatCode>General</c:formatCode>
                <c:ptCount val="17"/>
                <c:pt idx="0">
                  <c:v>18.5</c:v>
                </c:pt>
                <c:pt idx="1">
                  <c:v>71.099999999999994</c:v>
                </c:pt>
                <c:pt idx="2">
                  <c:v>63</c:v>
                </c:pt>
                <c:pt idx="3">
                  <c:v>45.7</c:v>
                </c:pt>
                <c:pt idx="4">
                  <c:v>27.5</c:v>
                </c:pt>
                <c:pt idx="5">
                  <c:v>41</c:v>
                </c:pt>
                <c:pt idx="6">
                  <c:v>36.6</c:v>
                </c:pt>
                <c:pt idx="7">
                  <c:v>32.200000000000003</c:v>
                </c:pt>
                <c:pt idx="8">
                  <c:v>12.2</c:v>
                </c:pt>
                <c:pt idx="9">
                  <c:v>6.4</c:v>
                </c:pt>
                <c:pt idx="10">
                  <c:v>47.5</c:v>
                </c:pt>
                <c:pt idx="11">
                  <c:v>87.4</c:v>
                </c:pt>
                <c:pt idx="12">
                  <c:v>52.4</c:v>
                </c:pt>
                <c:pt idx="13">
                  <c:v>35.4</c:v>
                </c:pt>
                <c:pt idx="14">
                  <c:v>29</c:v>
                </c:pt>
                <c:pt idx="15">
                  <c:v>25.7</c:v>
                </c:pt>
                <c:pt idx="16">
                  <c:v>7.1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990-4D61-9695-AF1076B5B1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8720079"/>
        <c:axId val="308719599"/>
      </c:scatterChart>
      <c:valAx>
        <c:axId val="308720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8719599"/>
        <c:crosses val="autoZero"/>
        <c:crossBetween val="midCat"/>
      </c:valAx>
      <c:valAx>
        <c:axId val="308719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87200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Pitch</a:t>
            </a:r>
            <a:r>
              <a:rPr lang="en-GB" baseline="0"/>
              <a:t> = 0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Sheet2!$A$2:$A$11</c:f>
              <c:numCache>
                <c:formatCode>General</c:formatCode>
                <c:ptCount val="10"/>
                <c:pt idx="0">
                  <c:v>50</c:v>
                </c:pt>
                <c:pt idx="1">
                  <c:v>160</c:v>
                </c:pt>
                <c:pt idx="2">
                  <c:v>149.5</c:v>
                </c:pt>
                <c:pt idx="3">
                  <c:v>110</c:v>
                </c:pt>
                <c:pt idx="4">
                  <c:v>70</c:v>
                </c:pt>
                <c:pt idx="5">
                  <c:v>100</c:v>
                </c:pt>
                <c:pt idx="6">
                  <c:v>88</c:v>
                </c:pt>
                <c:pt idx="7">
                  <c:v>75</c:v>
                </c:pt>
                <c:pt idx="8">
                  <c:v>40</c:v>
                </c:pt>
                <c:pt idx="9">
                  <c:v>30</c:v>
                </c:pt>
              </c:numCache>
            </c:numRef>
          </c:xVal>
          <c:yVal>
            <c:numRef>
              <c:f>Sheet2!$B$2:$B$11</c:f>
              <c:numCache>
                <c:formatCode>General</c:formatCode>
                <c:ptCount val="10"/>
                <c:pt idx="0">
                  <c:v>13.5</c:v>
                </c:pt>
                <c:pt idx="1">
                  <c:v>27</c:v>
                </c:pt>
                <c:pt idx="2">
                  <c:v>24.7</c:v>
                </c:pt>
                <c:pt idx="3">
                  <c:v>20</c:v>
                </c:pt>
                <c:pt idx="4">
                  <c:v>15.8</c:v>
                </c:pt>
                <c:pt idx="5">
                  <c:v>19.100000000000001</c:v>
                </c:pt>
                <c:pt idx="6">
                  <c:v>17.899999999999999</c:v>
                </c:pt>
                <c:pt idx="7">
                  <c:v>16.8</c:v>
                </c:pt>
                <c:pt idx="8">
                  <c:v>12.2</c:v>
                </c:pt>
                <c:pt idx="9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65-40C0-A9AC-4908B8D67E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0235519"/>
        <c:axId val="390236479"/>
      </c:scatterChart>
      <c:valAx>
        <c:axId val="390235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236479"/>
        <c:crosses val="autoZero"/>
        <c:crossBetween val="midCat"/>
      </c:valAx>
      <c:valAx>
        <c:axId val="390236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235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Sheet2!$A$2:$A$11</c:f>
              <c:numCache>
                <c:formatCode>General</c:formatCode>
                <c:ptCount val="10"/>
                <c:pt idx="0">
                  <c:v>50</c:v>
                </c:pt>
                <c:pt idx="1">
                  <c:v>160</c:v>
                </c:pt>
                <c:pt idx="2">
                  <c:v>149.5</c:v>
                </c:pt>
                <c:pt idx="3">
                  <c:v>110</c:v>
                </c:pt>
                <c:pt idx="4">
                  <c:v>70</c:v>
                </c:pt>
                <c:pt idx="5">
                  <c:v>100</c:v>
                </c:pt>
                <c:pt idx="6">
                  <c:v>88</c:v>
                </c:pt>
                <c:pt idx="7">
                  <c:v>75</c:v>
                </c:pt>
                <c:pt idx="8">
                  <c:v>40</c:v>
                </c:pt>
                <c:pt idx="9">
                  <c:v>30</c:v>
                </c:pt>
              </c:numCache>
            </c:numRef>
          </c:xVal>
          <c:yVal>
            <c:numRef>
              <c:f>Sheet2!$C$2:$C$11</c:f>
              <c:numCache>
                <c:formatCode>General</c:formatCode>
                <c:ptCount val="10"/>
                <c:pt idx="0">
                  <c:v>18.5</c:v>
                </c:pt>
                <c:pt idx="1">
                  <c:v>71.099999999999994</c:v>
                </c:pt>
                <c:pt idx="2">
                  <c:v>63</c:v>
                </c:pt>
                <c:pt idx="3">
                  <c:v>45.7</c:v>
                </c:pt>
                <c:pt idx="4">
                  <c:v>27.5</c:v>
                </c:pt>
                <c:pt idx="5">
                  <c:v>41</c:v>
                </c:pt>
                <c:pt idx="6">
                  <c:v>36.6</c:v>
                </c:pt>
                <c:pt idx="7">
                  <c:v>32.200000000000003</c:v>
                </c:pt>
                <c:pt idx="8">
                  <c:v>12.2</c:v>
                </c:pt>
                <c:pt idx="9">
                  <c:v>6.4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65-40C0-A9AC-4908B8D67E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0235519"/>
        <c:axId val="390236479"/>
      </c:scatterChart>
      <c:valAx>
        <c:axId val="390235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236479"/>
        <c:crosses val="autoZero"/>
        <c:crossBetween val="midCat"/>
      </c:valAx>
      <c:valAx>
        <c:axId val="390236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235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'Sheet2 (2)'!$B$2:$B$29</c:f>
              <c:numCache>
                <c:formatCode>General</c:formatCode>
                <c:ptCount val="28"/>
                <c:pt idx="0">
                  <c:v>50</c:v>
                </c:pt>
                <c:pt idx="1">
                  <c:v>160</c:v>
                </c:pt>
                <c:pt idx="2">
                  <c:v>149.5</c:v>
                </c:pt>
                <c:pt idx="3">
                  <c:v>110</c:v>
                </c:pt>
                <c:pt idx="4">
                  <c:v>70</c:v>
                </c:pt>
                <c:pt idx="5">
                  <c:v>100</c:v>
                </c:pt>
                <c:pt idx="6">
                  <c:v>88</c:v>
                </c:pt>
                <c:pt idx="7">
                  <c:v>75</c:v>
                </c:pt>
                <c:pt idx="8">
                  <c:v>40</c:v>
                </c:pt>
                <c:pt idx="9">
                  <c:v>30</c:v>
                </c:pt>
                <c:pt idx="21">
                  <c:v>95</c:v>
                </c:pt>
                <c:pt idx="22">
                  <c:v>170</c:v>
                </c:pt>
                <c:pt idx="23">
                  <c:v>105</c:v>
                </c:pt>
                <c:pt idx="24">
                  <c:v>70</c:v>
                </c:pt>
                <c:pt idx="25">
                  <c:v>60</c:v>
                </c:pt>
                <c:pt idx="26">
                  <c:v>55</c:v>
                </c:pt>
                <c:pt idx="27">
                  <c:v>20</c:v>
                </c:pt>
              </c:numCache>
            </c:numRef>
          </c:xVal>
          <c:yVal>
            <c:numRef>
              <c:f>'Sheet2 (2)'!$A$2:$A$29</c:f>
              <c:numCache>
                <c:formatCode>General</c:formatCode>
                <c:ptCount val="28"/>
                <c:pt idx="0">
                  <c:v>13.5</c:v>
                </c:pt>
                <c:pt idx="1">
                  <c:v>27</c:v>
                </c:pt>
                <c:pt idx="2">
                  <c:v>24.7</c:v>
                </c:pt>
                <c:pt idx="3">
                  <c:v>20</c:v>
                </c:pt>
                <c:pt idx="4">
                  <c:v>15.8</c:v>
                </c:pt>
                <c:pt idx="5">
                  <c:v>19.100000000000001</c:v>
                </c:pt>
                <c:pt idx="6">
                  <c:v>17.899999999999999</c:v>
                </c:pt>
                <c:pt idx="7">
                  <c:v>16.8</c:v>
                </c:pt>
                <c:pt idx="8">
                  <c:v>12.2</c:v>
                </c:pt>
                <c:pt idx="9">
                  <c:v>11</c:v>
                </c:pt>
                <c:pt idx="20">
                  <c:v>0</c:v>
                </c:pt>
                <c:pt idx="21">
                  <c:v>11</c:v>
                </c:pt>
                <c:pt idx="22">
                  <c:v>20.5</c:v>
                </c:pt>
                <c:pt idx="23">
                  <c:v>12.2</c:v>
                </c:pt>
                <c:pt idx="24">
                  <c:v>8.6</c:v>
                </c:pt>
                <c:pt idx="25">
                  <c:v>7.3</c:v>
                </c:pt>
                <c:pt idx="26">
                  <c:v>6.5</c:v>
                </c:pt>
                <c:pt idx="27">
                  <c:v>2.9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77-47FA-9D98-28399B1CF6F0}"/>
            </c:ext>
          </c:extLst>
        </c:ser>
        <c:ser>
          <c:idx val="1"/>
          <c:order val="1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'Sheet2 (2)'!$B$2:$B$29</c:f>
              <c:numCache>
                <c:formatCode>General</c:formatCode>
                <c:ptCount val="28"/>
                <c:pt idx="0">
                  <c:v>50</c:v>
                </c:pt>
                <c:pt idx="1">
                  <c:v>160</c:v>
                </c:pt>
                <c:pt idx="2">
                  <c:v>149.5</c:v>
                </c:pt>
                <c:pt idx="3">
                  <c:v>110</c:v>
                </c:pt>
                <c:pt idx="4">
                  <c:v>70</c:v>
                </c:pt>
                <c:pt idx="5">
                  <c:v>100</c:v>
                </c:pt>
                <c:pt idx="6">
                  <c:v>88</c:v>
                </c:pt>
                <c:pt idx="7">
                  <c:v>75</c:v>
                </c:pt>
                <c:pt idx="8">
                  <c:v>40</c:v>
                </c:pt>
                <c:pt idx="9">
                  <c:v>30</c:v>
                </c:pt>
                <c:pt idx="21">
                  <c:v>95</c:v>
                </c:pt>
                <c:pt idx="22">
                  <c:v>170</c:v>
                </c:pt>
                <c:pt idx="23">
                  <c:v>105</c:v>
                </c:pt>
                <c:pt idx="24">
                  <c:v>70</c:v>
                </c:pt>
                <c:pt idx="25">
                  <c:v>60</c:v>
                </c:pt>
                <c:pt idx="26">
                  <c:v>55</c:v>
                </c:pt>
                <c:pt idx="27">
                  <c:v>20</c:v>
                </c:pt>
              </c:numCache>
            </c:numRef>
          </c:xVal>
          <c:yVal>
            <c:numRef>
              <c:f>'Sheet2 (2)'!$C$2:$C$29</c:f>
              <c:numCache>
                <c:formatCode>General</c:formatCode>
                <c:ptCount val="28"/>
                <c:pt idx="0">
                  <c:v>18.5</c:v>
                </c:pt>
                <c:pt idx="1">
                  <c:v>71.099999999999994</c:v>
                </c:pt>
                <c:pt idx="2">
                  <c:v>63</c:v>
                </c:pt>
                <c:pt idx="3">
                  <c:v>45.7</c:v>
                </c:pt>
                <c:pt idx="4">
                  <c:v>27.5</c:v>
                </c:pt>
                <c:pt idx="5">
                  <c:v>41</c:v>
                </c:pt>
                <c:pt idx="6">
                  <c:v>36.6</c:v>
                </c:pt>
                <c:pt idx="7">
                  <c:v>32.200000000000003</c:v>
                </c:pt>
                <c:pt idx="8">
                  <c:v>12.2</c:v>
                </c:pt>
                <c:pt idx="9">
                  <c:v>6.4</c:v>
                </c:pt>
                <c:pt idx="21">
                  <c:v>47.5</c:v>
                </c:pt>
                <c:pt idx="22">
                  <c:v>87.4</c:v>
                </c:pt>
                <c:pt idx="23">
                  <c:v>52.4</c:v>
                </c:pt>
                <c:pt idx="24">
                  <c:v>35.4</c:v>
                </c:pt>
                <c:pt idx="25">
                  <c:v>29</c:v>
                </c:pt>
                <c:pt idx="26">
                  <c:v>25.7</c:v>
                </c:pt>
                <c:pt idx="27">
                  <c:v>7.1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F77-47FA-9D98-28399B1CF6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8720079"/>
        <c:axId val="308719599"/>
      </c:scatterChart>
      <c:valAx>
        <c:axId val="308720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8719599"/>
        <c:crosses val="autoZero"/>
        <c:crossBetween val="midCat"/>
      </c:valAx>
      <c:valAx>
        <c:axId val="308719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87200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Relationship between depth and tailboard</a:t>
            </a:r>
            <a:r>
              <a:rPr lang="en-GB" baseline="0"/>
              <a:t> at pitch=0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9.8795376313902714E-2"/>
                  <c:y val="2.7530759901544951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'Sheet2 (2)'!$B$2:$B$11</c:f>
              <c:numCache>
                <c:formatCode>General</c:formatCode>
                <c:ptCount val="10"/>
                <c:pt idx="0">
                  <c:v>50</c:v>
                </c:pt>
                <c:pt idx="1">
                  <c:v>160</c:v>
                </c:pt>
                <c:pt idx="2">
                  <c:v>149.5</c:v>
                </c:pt>
                <c:pt idx="3">
                  <c:v>110</c:v>
                </c:pt>
                <c:pt idx="4">
                  <c:v>70</c:v>
                </c:pt>
                <c:pt idx="5">
                  <c:v>100</c:v>
                </c:pt>
                <c:pt idx="6">
                  <c:v>88</c:v>
                </c:pt>
                <c:pt idx="7">
                  <c:v>75</c:v>
                </c:pt>
                <c:pt idx="8">
                  <c:v>40</c:v>
                </c:pt>
                <c:pt idx="9">
                  <c:v>30</c:v>
                </c:pt>
              </c:numCache>
            </c:numRef>
          </c:xVal>
          <c:yVal>
            <c:numRef>
              <c:f>'Sheet2 (2)'!$C$2:$C$11</c:f>
              <c:numCache>
                <c:formatCode>General</c:formatCode>
                <c:ptCount val="10"/>
                <c:pt idx="0">
                  <c:v>18.5</c:v>
                </c:pt>
                <c:pt idx="1">
                  <c:v>71.099999999999994</c:v>
                </c:pt>
                <c:pt idx="2">
                  <c:v>63</c:v>
                </c:pt>
                <c:pt idx="3">
                  <c:v>45.7</c:v>
                </c:pt>
                <c:pt idx="4">
                  <c:v>27.5</c:v>
                </c:pt>
                <c:pt idx="5">
                  <c:v>41</c:v>
                </c:pt>
                <c:pt idx="6">
                  <c:v>36.6</c:v>
                </c:pt>
                <c:pt idx="7">
                  <c:v>32.200000000000003</c:v>
                </c:pt>
                <c:pt idx="8">
                  <c:v>12.2</c:v>
                </c:pt>
                <c:pt idx="9">
                  <c:v>6.4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1A-4EBC-BDCC-8FD3895940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0235519"/>
        <c:axId val="390236479"/>
      </c:scatterChart>
      <c:valAx>
        <c:axId val="390235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236479"/>
        <c:crosses val="autoZero"/>
        <c:crossBetween val="midCat"/>
      </c:valAx>
      <c:valAx>
        <c:axId val="390236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235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'Sheet2 (2)'!$B$1</c:f>
              <c:strCache>
                <c:ptCount val="1"/>
                <c:pt idx="0">
                  <c:v>depth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'Sheet2 (2)'!$A$2:$A$11</c:f>
              <c:numCache>
                <c:formatCode>General</c:formatCode>
                <c:ptCount val="10"/>
                <c:pt idx="0">
                  <c:v>13.5</c:v>
                </c:pt>
                <c:pt idx="1">
                  <c:v>27</c:v>
                </c:pt>
                <c:pt idx="2">
                  <c:v>24.7</c:v>
                </c:pt>
                <c:pt idx="3">
                  <c:v>20</c:v>
                </c:pt>
                <c:pt idx="4">
                  <c:v>15.8</c:v>
                </c:pt>
                <c:pt idx="5">
                  <c:v>19.100000000000001</c:v>
                </c:pt>
                <c:pt idx="6">
                  <c:v>17.899999999999999</c:v>
                </c:pt>
                <c:pt idx="7">
                  <c:v>16.8</c:v>
                </c:pt>
                <c:pt idx="8">
                  <c:v>12.2</c:v>
                </c:pt>
                <c:pt idx="9">
                  <c:v>11</c:v>
                </c:pt>
              </c:numCache>
            </c:numRef>
          </c:xVal>
          <c:yVal>
            <c:numRef>
              <c:f>'Sheet2 (2)'!$B$2:$B$11</c:f>
              <c:numCache>
                <c:formatCode>General</c:formatCode>
                <c:ptCount val="10"/>
                <c:pt idx="0">
                  <c:v>50</c:v>
                </c:pt>
                <c:pt idx="1">
                  <c:v>160</c:v>
                </c:pt>
                <c:pt idx="2">
                  <c:v>149.5</c:v>
                </c:pt>
                <c:pt idx="3">
                  <c:v>110</c:v>
                </c:pt>
                <c:pt idx="4">
                  <c:v>70</c:v>
                </c:pt>
                <c:pt idx="5">
                  <c:v>100</c:v>
                </c:pt>
                <c:pt idx="6">
                  <c:v>88</c:v>
                </c:pt>
                <c:pt idx="7">
                  <c:v>75</c:v>
                </c:pt>
                <c:pt idx="8">
                  <c:v>40</c:v>
                </c:pt>
                <c:pt idx="9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4E-4A0C-8B0B-7A7DA5A09A7A}"/>
            </c:ext>
          </c:extLst>
        </c:ser>
        <c:ser>
          <c:idx val="1"/>
          <c:order val="1"/>
          <c:tx>
            <c:strRef>
              <c:f>'Sheet2 (2)'!$C$1</c:f>
              <c:strCache>
                <c:ptCount val="1"/>
                <c:pt idx="0">
                  <c:v>beta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'Sheet2 (2)'!$A$2:$A$11</c:f>
              <c:numCache>
                <c:formatCode>General</c:formatCode>
                <c:ptCount val="10"/>
                <c:pt idx="0">
                  <c:v>13.5</c:v>
                </c:pt>
                <c:pt idx="1">
                  <c:v>27</c:v>
                </c:pt>
                <c:pt idx="2">
                  <c:v>24.7</c:v>
                </c:pt>
                <c:pt idx="3">
                  <c:v>20</c:v>
                </c:pt>
                <c:pt idx="4">
                  <c:v>15.8</c:v>
                </c:pt>
                <c:pt idx="5">
                  <c:v>19.100000000000001</c:v>
                </c:pt>
                <c:pt idx="6">
                  <c:v>17.899999999999999</c:v>
                </c:pt>
                <c:pt idx="7">
                  <c:v>16.8</c:v>
                </c:pt>
                <c:pt idx="8">
                  <c:v>12.2</c:v>
                </c:pt>
                <c:pt idx="9">
                  <c:v>11</c:v>
                </c:pt>
              </c:numCache>
            </c:numRef>
          </c:xVal>
          <c:yVal>
            <c:numRef>
              <c:f>'Sheet2 (2)'!$C$2:$C$11</c:f>
              <c:numCache>
                <c:formatCode>General</c:formatCode>
                <c:ptCount val="10"/>
                <c:pt idx="0">
                  <c:v>18.5</c:v>
                </c:pt>
                <c:pt idx="1">
                  <c:v>71.099999999999994</c:v>
                </c:pt>
                <c:pt idx="2">
                  <c:v>63</c:v>
                </c:pt>
                <c:pt idx="3">
                  <c:v>45.7</c:v>
                </c:pt>
                <c:pt idx="4">
                  <c:v>27.5</c:v>
                </c:pt>
                <c:pt idx="5">
                  <c:v>41</c:v>
                </c:pt>
                <c:pt idx="6">
                  <c:v>36.6</c:v>
                </c:pt>
                <c:pt idx="7">
                  <c:v>32.200000000000003</c:v>
                </c:pt>
                <c:pt idx="8">
                  <c:v>12.2</c:v>
                </c:pt>
                <c:pt idx="9">
                  <c:v>6.4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44E-4A0C-8B0B-7A7DA5A09A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5732303"/>
        <c:axId val="465728943"/>
      </c:scatterChart>
      <c:valAx>
        <c:axId val="465732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5728943"/>
        <c:crosses val="autoZero"/>
        <c:crossBetween val="midCat"/>
      </c:valAx>
      <c:valAx>
        <c:axId val="465728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57323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Relationship between depth and tailboard at pitch&gt;0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7.5324706561477772E-2"/>
                  <c:y val="1.139672246308243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'Sheet2 (2)'!$B$23:$B$29</c:f>
              <c:numCache>
                <c:formatCode>General</c:formatCode>
                <c:ptCount val="7"/>
                <c:pt idx="0">
                  <c:v>95</c:v>
                </c:pt>
                <c:pt idx="1">
                  <c:v>170</c:v>
                </c:pt>
                <c:pt idx="2">
                  <c:v>105</c:v>
                </c:pt>
                <c:pt idx="3">
                  <c:v>70</c:v>
                </c:pt>
                <c:pt idx="4">
                  <c:v>60</c:v>
                </c:pt>
                <c:pt idx="5">
                  <c:v>55</c:v>
                </c:pt>
                <c:pt idx="6">
                  <c:v>20</c:v>
                </c:pt>
              </c:numCache>
            </c:numRef>
          </c:xVal>
          <c:yVal>
            <c:numRef>
              <c:f>'Sheet2 (2)'!$C$23:$C$29</c:f>
              <c:numCache>
                <c:formatCode>General</c:formatCode>
                <c:ptCount val="7"/>
                <c:pt idx="0">
                  <c:v>47.5</c:v>
                </c:pt>
                <c:pt idx="1">
                  <c:v>87.4</c:v>
                </c:pt>
                <c:pt idx="2">
                  <c:v>52.4</c:v>
                </c:pt>
                <c:pt idx="3">
                  <c:v>35.4</c:v>
                </c:pt>
                <c:pt idx="4">
                  <c:v>29</c:v>
                </c:pt>
                <c:pt idx="5">
                  <c:v>25.7</c:v>
                </c:pt>
                <c:pt idx="6">
                  <c:v>7.1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1A-4EBC-BDCC-8FD3895940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0235519"/>
        <c:axId val="390236479"/>
      </c:scatterChart>
      <c:valAx>
        <c:axId val="390235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236479"/>
        <c:crosses val="autoZero"/>
        <c:crossBetween val="midCat"/>
      </c:valAx>
      <c:valAx>
        <c:axId val="390236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235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536121</xdr:colOff>
      <xdr:row>4</xdr:row>
      <xdr:rowOff>57149</xdr:rowOff>
    </xdr:from>
    <xdr:to>
      <xdr:col>13</xdr:col>
      <xdr:colOff>536121</xdr:colOff>
      <xdr:row>19</xdr:row>
      <xdr:rowOff>24492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B4B2F3-C540-B3D6-C5C7-3E989D0EAD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206829</xdr:colOff>
      <xdr:row>18</xdr:row>
      <xdr:rowOff>150358</xdr:rowOff>
    </xdr:from>
    <xdr:to>
      <xdr:col>12</xdr:col>
      <xdr:colOff>182336</xdr:colOff>
      <xdr:row>33</xdr:row>
      <xdr:rowOff>180294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448B1B-935C-7E09-89BF-67DAAE6695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521154</xdr:colOff>
      <xdr:row>1</xdr:row>
      <xdr:rowOff>64633</xdr:rowOff>
    </xdr:from>
    <xdr:to>
      <xdr:col>11</xdr:col>
      <xdr:colOff>496661</xdr:colOff>
      <xdr:row>16</xdr:row>
      <xdr:rowOff>94569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2427744-A2F7-1863-F1D7-4B8FFD7E91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65315</xdr:colOff>
      <xdr:row>1</xdr:row>
      <xdr:rowOff>37419</xdr:rowOff>
    </xdr:from>
    <xdr:to>
      <xdr:col>19</xdr:col>
      <xdr:colOff>39461</xdr:colOff>
      <xdr:row>16</xdr:row>
      <xdr:rowOff>68715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9102117-F801-4C71-E392-6DE9F39ACA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206829</xdr:colOff>
      <xdr:row>18</xdr:row>
      <xdr:rowOff>150358</xdr:rowOff>
    </xdr:from>
    <xdr:to>
      <xdr:col>13</xdr:col>
      <xdr:colOff>182336</xdr:colOff>
      <xdr:row>33</xdr:row>
      <xdr:rowOff>180294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623E3B-3D1F-47C8-A26A-0D4103AFAE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276226</xdr:colOff>
      <xdr:row>2</xdr:row>
      <xdr:rowOff>94569</xdr:rowOff>
    </xdr:from>
    <xdr:to>
      <xdr:col>20</xdr:col>
      <xdr:colOff>247650</xdr:colOff>
      <xdr:row>17</xdr:row>
      <xdr:rowOff>123144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1DEE69B-0C00-45DF-AC9A-831166EF87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274183</xdr:colOff>
      <xdr:row>1</xdr:row>
      <xdr:rowOff>45583</xdr:rowOff>
    </xdr:from>
    <xdr:to>
      <xdr:col>12</xdr:col>
      <xdr:colOff>238805</xdr:colOff>
      <xdr:row>16</xdr:row>
      <xdr:rowOff>75519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A49E54F-6978-3C01-05DF-3FE4C758EC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277587</xdr:colOff>
      <xdr:row>17</xdr:row>
      <xdr:rowOff>151719</xdr:rowOff>
    </xdr:from>
    <xdr:to>
      <xdr:col>20</xdr:col>
      <xdr:colOff>246290</xdr:colOff>
      <xdr:row>33</xdr:row>
      <xdr:rowOff>680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A6E037A-01EF-800B-386D-FE234E26B5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D6AAD-AB91-4786-84B1-FFFB01B3284B}">
  <dimension ref="A1:B14"/>
  <sheetViews>
    <sheetView workbookViewId="0">
      <selection sqref="A1:B1048576"/>
    </sheetView>
  </sheetViews>
  <sheetFormatPr defaultRowHeight="14.6" x14ac:dyDescent="0.4"/>
  <sheetData>
    <row r="1" spans="1:2" x14ac:dyDescent="0.4">
      <c r="A1" t="s">
        <v>0</v>
      </c>
      <c r="B1" t="s">
        <v>1</v>
      </c>
    </row>
    <row r="2" spans="1:2" x14ac:dyDescent="0.4">
      <c r="A2">
        <v>0</v>
      </c>
      <c r="B2">
        <v>0</v>
      </c>
    </row>
    <row r="3" spans="1:2" x14ac:dyDescent="0.4">
      <c r="A3">
        <v>2000</v>
      </c>
      <c r="B3">
        <v>2.1</v>
      </c>
    </row>
    <row r="4" spans="1:2" x14ac:dyDescent="0.4">
      <c r="A4">
        <v>8452</v>
      </c>
      <c r="B4">
        <v>2.1</v>
      </c>
    </row>
    <row r="5" spans="1:2" x14ac:dyDescent="0.4">
      <c r="A5">
        <v>15910</v>
      </c>
      <c r="B5">
        <v>9</v>
      </c>
    </row>
    <row r="6" spans="1:2" x14ac:dyDescent="0.4">
      <c r="A6">
        <v>22124</v>
      </c>
      <c r="B6">
        <v>15</v>
      </c>
    </row>
    <row r="7" spans="1:2" x14ac:dyDescent="0.4">
      <c r="A7">
        <v>28588</v>
      </c>
      <c r="B7">
        <v>21.7</v>
      </c>
    </row>
    <row r="8" spans="1:2" x14ac:dyDescent="0.4">
      <c r="A8">
        <v>19897</v>
      </c>
      <c r="B8">
        <v>19.68</v>
      </c>
    </row>
    <row r="9" spans="1:2" x14ac:dyDescent="0.4">
      <c r="A9">
        <v>7700</v>
      </c>
      <c r="B9">
        <v>7.92</v>
      </c>
    </row>
    <row r="10" spans="1:2" x14ac:dyDescent="0.4">
      <c r="A10">
        <v>15661</v>
      </c>
      <c r="B10">
        <v>9.2799999999999994</v>
      </c>
    </row>
    <row r="11" spans="1:2" x14ac:dyDescent="0.4">
      <c r="A11">
        <v>26102</v>
      </c>
      <c r="B11">
        <v>19.37</v>
      </c>
    </row>
    <row r="12" spans="1:2" x14ac:dyDescent="0.4">
      <c r="A12">
        <v>5718</v>
      </c>
      <c r="B12">
        <v>5.9</v>
      </c>
    </row>
    <row r="13" spans="1:2" x14ac:dyDescent="0.4">
      <c r="A13">
        <v>17400</v>
      </c>
      <c r="B13">
        <v>10.57</v>
      </c>
    </row>
    <row r="14" spans="1:2" x14ac:dyDescent="0.4">
      <c r="A14">
        <v>31322</v>
      </c>
      <c r="B14">
        <v>24.75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10937-CA67-48ED-8967-CD494E105E5D}">
  <dimension ref="A1:C18"/>
  <sheetViews>
    <sheetView workbookViewId="0">
      <selection activeCell="C35" sqref="C35"/>
    </sheetView>
  </sheetViews>
  <sheetFormatPr defaultRowHeight="14.6" x14ac:dyDescent="0.4"/>
  <sheetData>
    <row r="1" spans="1:3" x14ac:dyDescent="0.4">
      <c r="A1" t="s">
        <v>2</v>
      </c>
      <c r="B1" t="s">
        <v>1</v>
      </c>
      <c r="C1" t="s">
        <v>3</v>
      </c>
    </row>
    <row r="2" spans="1:3" x14ac:dyDescent="0.4">
      <c r="A2">
        <v>50</v>
      </c>
      <c r="B2">
        <v>13.5</v>
      </c>
      <c r="C2">
        <v>18.5</v>
      </c>
    </row>
    <row r="3" spans="1:3" x14ac:dyDescent="0.4">
      <c r="A3">
        <v>160</v>
      </c>
      <c r="B3">
        <v>27</v>
      </c>
      <c r="C3">
        <v>71.099999999999994</v>
      </c>
    </row>
    <row r="4" spans="1:3" x14ac:dyDescent="0.4">
      <c r="A4">
        <f>190-40.5</f>
        <v>149.5</v>
      </c>
      <c r="B4">
        <v>24.7</v>
      </c>
      <c r="C4">
        <v>63</v>
      </c>
    </row>
    <row r="5" spans="1:3" x14ac:dyDescent="0.4">
      <c r="A5">
        <v>110</v>
      </c>
      <c r="B5">
        <v>20</v>
      </c>
      <c r="C5">
        <v>45.7</v>
      </c>
    </row>
    <row r="6" spans="1:3" x14ac:dyDescent="0.4">
      <c r="A6">
        <v>70</v>
      </c>
      <c r="B6">
        <v>15.8</v>
      </c>
      <c r="C6">
        <v>27.5</v>
      </c>
    </row>
    <row r="7" spans="1:3" x14ac:dyDescent="0.4">
      <c r="A7">
        <v>100</v>
      </c>
      <c r="B7">
        <v>19.100000000000001</v>
      </c>
      <c r="C7">
        <v>41</v>
      </c>
    </row>
    <row r="8" spans="1:3" x14ac:dyDescent="0.4">
      <c r="A8">
        <v>88</v>
      </c>
      <c r="B8">
        <v>17.899999999999999</v>
      </c>
      <c r="C8">
        <v>36.6</v>
      </c>
    </row>
    <row r="9" spans="1:3" x14ac:dyDescent="0.4">
      <c r="A9">
        <v>75</v>
      </c>
      <c r="B9">
        <v>16.8</v>
      </c>
      <c r="C9">
        <v>32.200000000000003</v>
      </c>
    </row>
    <row r="10" spans="1:3" x14ac:dyDescent="0.4">
      <c r="A10">
        <v>40</v>
      </c>
      <c r="B10">
        <v>12.2</v>
      </c>
      <c r="C10">
        <v>12.2</v>
      </c>
    </row>
    <row r="11" spans="1:3" x14ac:dyDescent="0.4">
      <c r="A11">
        <v>30</v>
      </c>
      <c r="B11">
        <v>11</v>
      </c>
      <c r="C11">
        <v>6.4</v>
      </c>
    </row>
    <row r="12" spans="1:3" x14ac:dyDescent="0.4">
      <c r="A12">
        <v>95</v>
      </c>
      <c r="B12">
        <v>11</v>
      </c>
      <c r="C12">
        <v>47.5</v>
      </c>
    </row>
    <row r="13" spans="1:3" x14ac:dyDescent="0.4">
      <c r="A13">
        <v>170</v>
      </c>
      <c r="B13">
        <v>20.5</v>
      </c>
      <c r="C13">
        <v>87.4</v>
      </c>
    </row>
    <row r="14" spans="1:3" x14ac:dyDescent="0.4">
      <c r="A14">
        <f>190-85</f>
        <v>105</v>
      </c>
      <c r="B14">
        <v>12.2</v>
      </c>
      <c r="C14">
        <v>52.4</v>
      </c>
    </row>
    <row r="15" spans="1:3" x14ac:dyDescent="0.4">
      <c r="A15">
        <v>70</v>
      </c>
      <c r="B15">
        <v>8.6</v>
      </c>
      <c r="C15">
        <v>35.4</v>
      </c>
    </row>
    <row r="16" spans="1:3" x14ac:dyDescent="0.4">
      <c r="A16">
        <v>60</v>
      </c>
      <c r="B16">
        <v>7.3</v>
      </c>
      <c r="C16">
        <v>29</v>
      </c>
    </row>
    <row r="17" spans="1:3" x14ac:dyDescent="0.4">
      <c r="A17">
        <v>55</v>
      </c>
      <c r="B17">
        <v>6.5</v>
      </c>
      <c r="C17">
        <v>25.7</v>
      </c>
    </row>
    <row r="18" spans="1:3" x14ac:dyDescent="0.4">
      <c r="A18">
        <v>20</v>
      </c>
      <c r="B18">
        <v>2.9</v>
      </c>
      <c r="C18">
        <v>7.1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AB8A7-0764-4101-A5E7-9848AC9096CD}">
  <dimension ref="A1:C29"/>
  <sheetViews>
    <sheetView tabSelected="1" topLeftCell="A13" workbookViewId="0">
      <selection activeCell="D18" sqref="D18"/>
    </sheetView>
  </sheetViews>
  <sheetFormatPr defaultRowHeight="14.6" x14ac:dyDescent="0.4"/>
  <sheetData>
    <row r="1" spans="1:3" x14ac:dyDescent="0.4">
      <c r="A1" t="s">
        <v>1</v>
      </c>
      <c r="B1" t="s">
        <v>2</v>
      </c>
      <c r="C1" t="s">
        <v>3</v>
      </c>
    </row>
    <row r="2" spans="1:3" x14ac:dyDescent="0.4">
      <c r="A2">
        <v>13.5</v>
      </c>
      <c r="B2">
        <v>50</v>
      </c>
      <c r="C2">
        <v>18.5</v>
      </c>
    </row>
    <row r="3" spans="1:3" x14ac:dyDescent="0.4">
      <c r="A3">
        <v>27</v>
      </c>
      <c r="B3">
        <v>160</v>
      </c>
      <c r="C3">
        <v>71.099999999999994</v>
      </c>
    </row>
    <row r="4" spans="1:3" x14ac:dyDescent="0.4">
      <c r="A4">
        <v>24.7</v>
      </c>
      <c r="B4">
        <f>190-40.5</f>
        <v>149.5</v>
      </c>
      <c r="C4">
        <v>63</v>
      </c>
    </row>
    <row r="5" spans="1:3" x14ac:dyDescent="0.4">
      <c r="A5">
        <v>20</v>
      </c>
      <c r="B5">
        <v>110</v>
      </c>
      <c r="C5">
        <v>45.7</v>
      </c>
    </row>
    <row r="6" spans="1:3" x14ac:dyDescent="0.4">
      <c r="A6">
        <v>15.8</v>
      </c>
      <c r="B6">
        <v>70</v>
      </c>
      <c r="C6">
        <v>27.5</v>
      </c>
    </row>
    <row r="7" spans="1:3" x14ac:dyDescent="0.4">
      <c r="A7">
        <v>19.100000000000001</v>
      </c>
      <c r="B7">
        <v>100</v>
      </c>
      <c r="C7">
        <v>41</v>
      </c>
    </row>
    <row r="8" spans="1:3" x14ac:dyDescent="0.4">
      <c r="A8">
        <v>17.899999999999999</v>
      </c>
      <c r="B8">
        <v>88</v>
      </c>
      <c r="C8">
        <v>36.6</v>
      </c>
    </row>
    <row r="9" spans="1:3" x14ac:dyDescent="0.4">
      <c r="A9">
        <v>16.8</v>
      </c>
      <c r="B9">
        <v>75</v>
      </c>
      <c r="C9">
        <v>32.200000000000003</v>
      </c>
    </row>
    <row r="10" spans="1:3" x14ac:dyDescent="0.4">
      <c r="A10">
        <v>12.2</v>
      </c>
      <c r="B10">
        <v>40</v>
      </c>
      <c r="C10">
        <v>12.2</v>
      </c>
    </row>
    <row r="11" spans="1:3" x14ac:dyDescent="0.4">
      <c r="A11">
        <v>11</v>
      </c>
      <c r="B11">
        <v>30</v>
      </c>
      <c r="C11">
        <v>6.4</v>
      </c>
    </row>
    <row r="22" spans="1:3" x14ac:dyDescent="0.4">
      <c r="A22" t="s">
        <v>4</v>
      </c>
    </row>
    <row r="23" spans="1:3" x14ac:dyDescent="0.4">
      <c r="A23">
        <v>11</v>
      </c>
      <c r="B23">
        <v>95</v>
      </c>
      <c r="C23">
        <v>47.5</v>
      </c>
    </row>
    <row r="24" spans="1:3" x14ac:dyDescent="0.4">
      <c r="A24">
        <v>20.5</v>
      </c>
      <c r="B24">
        <v>170</v>
      </c>
      <c r="C24">
        <v>87.4</v>
      </c>
    </row>
    <row r="25" spans="1:3" x14ac:dyDescent="0.4">
      <c r="A25">
        <v>12.2</v>
      </c>
      <c r="B25">
        <f>190-85</f>
        <v>105</v>
      </c>
      <c r="C25">
        <v>52.4</v>
      </c>
    </row>
    <row r="26" spans="1:3" x14ac:dyDescent="0.4">
      <c r="A26">
        <v>8.6</v>
      </c>
      <c r="B26">
        <v>70</v>
      </c>
      <c r="C26">
        <v>35.4</v>
      </c>
    </row>
    <row r="27" spans="1:3" x14ac:dyDescent="0.4">
      <c r="A27">
        <v>7.3</v>
      </c>
      <c r="B27">
        <v>60</v>
      </c>
      <c r="C27">
        <v>29</v>
      </c>
    </row>
    <row r="28" spans="1:3" x14ac:dyDescent="0.4">
      <c r="A28">
        <v>6.5</v>
      </c>
      <c r="B28">
        <v>55</v>
      </c>
      <c r="C28">
        <v>25.7</v>
      </c>
    </row>
    <row r="29" spans="1:3" x14ac:dyDescent="0.4">
      <c r="A29">
        <v>2.9</v>
      </c>
      <c r="B29">
        <v>20</v>
      </c>
      <c r="C29">
        <v>7.1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Sheet2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 Đỗ Phước Bảo</dc:creator>
  <cp:lastModifiedBy>Long Đỗ Phước Bảo</cp:lastModifiedBy>
  <dcterms:created xsi:type="dcterms:W3CDTF">2026-04-10T06:26:35Z</dcterms:created>
  <dcterms:modified xsi:type="dcterms:W3CDTF">2026-04-10T15:03:44Z</dcterms:modified>
</cp:coreProperties>
</file>